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RES-D-15-04\OneDrive\문서\"/>
    </mc:Choice>
  </mc:AlternateContent>
  <xr:revisionPtr revIDLastSave="0" documentId="13_ncr:1_{9AD43542-C107-4285-AF30-37B344CB5CAD}" xr6:coauthVersionLast="47" xr6:coauthVersionMax="47" xr10:uidLastSave="{00000000-0000-0000-0000-000000000000}"/>
  <bookViews>
    <workbookView xWindow="-120" yWindow="-120" windowWidth="29040" windowHeight="16440" xr2:uid="{C1989C73-B2FA-4C85-A5A0-199D540A596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9" i="1" l="1"/>
  <c r="D14" i="1"/>
  <c r="E12" i="1"/>
  <c r="E11" i="1"/>
  <c r="E5" i="1"/>
  <c r="E6" i="1"/>
  <c r="E7" i="1"/>
  <c r="E8" i="1"/>
  <c r="E13" i="1"/>
  <c r="E4" i="1"/>
  <c r="E14" i="1" l="1"/>
</calcChain>
</file>

<file path=xl/sharedStrings.xml><?xml version="1.0" encoding="utf-8"?>
<sst xmlns="http://schemas.openxmlformats.org/spreadsheetml/2006/main" count="26" uniqueCount="23">
  <si>
    <t xml:space="preserve">예상 매출 및 영업 이익 </t>
    <phoneticPr fontId="2" type="noConversion"/>
  </si>
  <si>
    <t>구분</t>
    <phoneticPr fontId="2" type="noConversion"/>
  </si>
  <si>
    <t>정보 학습모델</t>
    <phoneticPr fontId="2" type="noConversion"/>
  </si>
  <si>
    <t>화력 학습모델</t>
    <phoneticPr fontId="2" type="noConversion"/>
  </si>
  <si>
    <t>기동 학습모델</t>
    <phoneticPr fontId="2" type="noConversion"/>
  </si>
  <si>
    <t>전근지 학습모델</t>
    <phoneticPr fontId="2" type="noConversion"/>
  </si>
  <si>
    <t>기타 전장기능 학습모델</t>
    <phoneticPr fontId="2" type="noConversion"/>
  </si>
  <si>
    <t>비고</t>
    <phoneticPr fontId="2" type="noConversion"/>
  </si>
  <si>
    <t>예상 매출(백만)</t>
    <phoneticPr fontId="2" type="noConversion"/>
  </si>
  <si>
    <t>예상 영업이익(백만)</t>
    <phoneticPr fontId="2" type="noConversion"/>
  </si>
  <si>
    <t>해군 학습모델</t>
    <phoneticPr fontId="2" type="noConversion"/>
  </si>
  <si>
    <t>공군 학습모델</t>
    <phoneticPr fontId="2" type="noConversion"/>
  </si>
  <si>
    <t>해병대 학습모델</t>
    <phoneticPr fontId="2" type="noConversion"/>
  </si>
  <si>
    <t>합계</t>
    <phoneticPr fontId="2" type="noConversion"/>
  </si>
  <si>
    <t>프로토타입 개발 원가 반영 여부 소요군과 협의 필요(투자 개념 검토)</t>
    <phoneticPr fontId="2" type="noConversion"/>
  </si>
  <si>
    <t>희망 사업 연도</t>
    <phoneticPr fontId="2" type="noConversion"/>
  </si>
  <si>
    <t>26년</t>
    <phoneticPr fontId="2" type="noConversion"/>
  </si>
  <si>
    <t>27년</t>
    <phoneticPr fontId="2" type="noConversion"/>
  </si>
  <si>
    <t>육군 통합 학습모델</t>
    <phoneticPr fontId="2" type="noConversion"/>
  </si>
  <si>
    <t>1. 학습대상 데이터 변화 및 증가 요소와 모델 개선 등 소요 반영
   (원가는 일부 산술적으로 감소 예상)
2. 육군통합체계 대상 운용환경 검토 시 장비원가는 증가분 소요군 협의 필요</t>
    <phoneticPr fontId="2" type="noConversion"/>
  </si>
  <si>
    <t>28년</t>
    <phoneticPr fontId="2" type="noConversion"/>
  </si>
  <si>
    <t>1. 육군과 전장기능 차이와 군 작전 특성 기준의 예상 금액임
2. 사업연도는 각 군 협의 후 반영</t>
    <phoneticPr fontId="2" type="noConversion"/>
  </si>
  <si>
    <t>예상 원가 및 이익 구조로써 운용환경 및 투입 인원 상황에 따라 재판단 예정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</si>
</sst>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0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9">
    <xf numFmtId="0" fontId="0" fillId="0" borderId="0" xfId="0">
      <alignment vertical="center"/>
    </xf>
    <xf numFmtId="0" fontId="3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0" borderId="4" xfId="0" applyFont="1" applyBorder="1">
      <alignment vertical="center"/>
    </xf>
    <xf numFmtId="0" fontId="0" fillId="0" borderId="5" xfId="0" applyBorder="1">
      <alignment vertical="center"/>
    </xf>
    <xf numFmtId="0" fontId="0" fillId="0" borderId="5" xfId="0" applyBorder="1" applyAlignment="1">
      <alignment horizontal="center" vertical="center"/>
    </xf>
    <xf numFmtId="0" fontId="0" fillId="0" borderId="6" xfId="0" applyBorder="1">
      <alignment vertical="center"/>
    </xf>
    <xf numFmtId="3" fontId="0" fillId="0" borderId="5" xfId="0" applyNumberFormat="1" applyBorder="1">
      <alignment vertical="center"/>
    </xf>
    <xf numFmtId="0" fontId="0" fillId="0" borderId="6" xfId="0" applyBorder="1" applyAlignment="1">
      <alignment vertical="center" wrapText="1"/>
    </xf>
    <xf numFmtId="0" fontId="0" fillId="0" borderId="6" xfId="0" applyBorder="1" applyAlignment="1">
      <alignment vertical="center"/>
    </xf>
    <xf numFmtId="0" fontId="4" fillId="0" borderId="7" xfId="0" applyFont="1" applyBorder="1">
      <alignment vertical="center"/>
    </xf>
    <xf numFmtId="41" fontId="0" fillId="0" borderId="8" xfId="1" applyFont="1" applyBorder="1">
      <alignment vertical="center"/>
    </xf>
    <xf numFmtId="0" fontId="0" fillId="0" borderId="9" xfId="0" applyBorder="1">
      <alignment vertical="center"/>
    </xf>
    <xf numFmtId="0" fontId="4" fillId="2" borderId="4" xfId="0" applyFont="1" applyFill="1" applyBorder="1">
      <alignment vertical="center"/>
    </xf>
    <xf numFmtId="3" fontId="0" fillId="2" borderId="5" xfId="0" applyNumberFormat="1" applyFill="1" applyBorder="1">
      <alignment vertical="center"/>
    </xf>
    <xf numFmtId="0" fontId="0" fillId="2" borderId="5" xfId="0" applyFill="1" applyBorder="1">
      <alignment vertical="center"/>
    </xf>
    <xf numFmtId="0" fontId="0" fillId="2" borderId="6" xfId="0" applyFill="1" applyBorder="1" applyAlignment="1">
      <alignment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15671B-EB8A-42DD-955A-3F28686B4089}">
  <dimension ref="C2:G14"/>
  <sheetViews>
    <sheetView tabSelected="1" topLeftCell="A2" workbookViewId="0">
      <selection activeCell="D14" sqref="D14"/>
    </sheetView>
  </sheetViews>
  <sheetFormatPr defaultRowHeight="16.5" x14ac:dyDescent="0.3"/>
  <cols>
    <col min="3" max="3" width="22.75" bestFit="1" customWidth="1"/>
    <col min="4" max="4" width="15.125" bestFit="1" customWidth="1"/>
    <col min="5" max="5" width="19.25" bestFit="1" customWidth="1"/>
    <col min="6" max="6" width="19.25" customWidth="1"/>
    <col min="7" max="7" width="65.875" customWidth="1"/>
    <col min="8" max="8" width="15.875" bestFit="1" customWidth="1"/>
    <col min="9" max="9" width="22.75" bestFit="1" customWidth="1"/>
  </cols>
  <sheetData>
    <row r="2" spans="3:7" ht="21" thickBot="1" x14ac:dyDescent="0.35">
      <c r="C2" s="1" t="s">
        <v>0</v>
      </c>
      <c r="D2" s="1"/>
      <c r="E2" s="1"/>
      <c r="F2" s="1"/>
      <c r="G2" s="1"/>
    </row>
    <row r="3" spans="3:7" x14ac:dyDescent="0.3">
      <c r="C3" s="2" t="s">
        <v>1</v>
      </c>
      <c r="D3" s="3" t="s">
        <v>8</v>
      </c>
      <c r="E3" s="3" t="s">
        <v>9</v>
      </c>
      <c r="F3" s="3" t="s">
        <v>15</v>
      </c>
      <c r="G3" s="4" t="s">
        <v>7</v>
      </c>
    </row>
    <row r="4" spans="3:7" x14ac:dyDescent="0.3">
      <c r="C4" s="5" t="s">
        <v>2</v>
      </c>
      <c r="D4" s="6">
        <v>500</v>
      </c>
      <c r="E4" s="6">
        <f>D4*5%</f>
        <v>25</v>
      </c>
      <c r="F4" s="7" t="s">
        <v>16</v>
      </c>
      <c r="G4" s="8" t="s">
        <v>14</v>
      </c>
    </row>
    <row r="5" spans="3:7" x14ac:dyDescent="0.3">
      <c r="C5" s="5" t="s">
        <v>3</v>
      </c>
      <c r="D5" s="9">
        <v>1000</v>
      </c>
      <c r="E5" s="6">
        <f t="shared" ref="E5:E13" si="0">D5*5%</f>
        <v>50</v>
      </c>
      <c r="F5" s="7" t="s">
        <v>16</v>
      </c>
      <c r="G5" s="10" t="s">
        <v>19</v>
      </c>
    </row>
    <row r="6" spans="3:7" x14ac:dyDescent="0.3">
      <c r="C6" s="5" t="s">
        <v>4</v>
      </c>
      <c r="D6" s="9">
        <v>1000</v>
      </c>
      <c r="E6" s="6">
        <f t="shared" si="0"/>
        <v>50</v>
      </c>
      <c r="F6" s="7" t="s">
        <v>17</v>
      </c>
      <c r="G6" s="11"/>
    </row>
    <row r="7" spans="3:7" x14ac:dyDescent="0.3">
      <c r="C7" s="5" t="s">
        <v>5</v>
      </c>
      <c r="D7" s="9">
        <v>1000</v>
      </c>
      <c r="E7" s="6">
        <f t="shared" si="0"/>
        <v>50</v>
      </c>
      <c r="F7" s="7" t="s">
        <v>17</v>
      </c>
      <c r="G7" s="11"/>
    </row>
    <row r="8" spans="3:7" x14ac:dyDescent="0.3">
      <c r="C8" s="5" t="s">
        <v>6</v>
      </c>
      <c r="D8" s="9">
        <v>1000</v>
      </c>
      <c r="E8" s="6">
        <f t="shared" si="0"/>
        <v>50</v>
      </c>
      <c r="F8" s="7" t="s">
        <v>17</v>
      </c>
      <c r="G8" s="11"/>
    </row>
    <row r="9" spans="3:7" x14ac:dyDescent="0.3">
      <c r="C9" s="5" t="s">
        <v>18</v>
      </c>
      <c r="D9" s="9">
        <v>1000</v>
      </c>
      <c r="E9" s="6">
        <f t="shared" si="0"/>
        <v>50</v>
      </c>
      <c r="F9" s="7" t="s">
        <v>20</v>
      </c>
      <c r="G9" s="11"/>
    </row>
    <row r="10" spans="3:7" ht="4.5" customHeight="1" x14ac:dyDescent="0.3">
      <c r="C10" s="15"/>
      <c r="D10" s="16"/>
      <c r="E10" s="17"/>
      <c r="F10" s="17"/>
      <c r="G10" s="18"/>
    </row>
    <row r="11" spans="3:7" x14ac:dyDescent="0.3">
      <c r="C11" s="5" t="s">
        <v>10</v>
      </c>
      <c r="D11" s="9">
        <v>3000</v>
      </c>
      <c r="E11" s="6">
        <f t="shared" si="0"/>
        <v>150</v>
      </c>
      <c r="F11" s="6"/>
      <c r="G11" s="10" t="s">
        <v>21</v>
      </c>
    </row>
    <row r="12" spans="3:7" x14ac:dyDescent="0.3">
      <c r="C12" s="5" t="s">
        <v>11</v>
      </c>
      <c r="D12" s="9">
        <v>3000</v>
      </c>
      <c r="E12" s="6">
        <f t="shared" si="0"/>
        <v>150</v>
      </c>
      <c r="F12" s="6"/>
      <c r="G12" s="11"/>
    </row>
    <row r="13" spans="3:7" x14ac:dyDescent="0.3">
      <c r="C13" s="5" t="s">
        <v>12</v>
      </c>
      <c r="D13" s="9">
        <v>4000</v>
      </c>
      <c r="E13" s="6">
        <f t="shared" si="0"/>
        <v>200</v>
      </c>
      <c r="F13" s="6"/>
      <c r="G13" s="11"/>
    </row>
    <row r="14" spans="3:7" ht="17.25" thickBot="1" x14ac:dyDescent="0.35">
      <c r="C14" s="12" t="s">
        <v>13</v>
      </c>
      <c r="D14" s="13">
        <f>SUM(D4:D13)</f>
        <v>15500</v>
      </c>
      <c r="E14" s="13">
        <f>SUM(E4:E13)</f>
        <v>775</v>
      </c>
      <c r="F14" s="13"/>
      <c r="G14" s="14" t="s">
        <v>22</v>
      </c>
    </row>
  </sheetData>
  <mergeCells count="3">
    <mergeCell ref="C2:G2"/>
    <mergeCell ref="G11:G13"/>
    <mergeCell ref="G5:G9"/>
  </mergeCells>
  <phoneticPr fontId="2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박 정준</dc:creator>
  <cp:lastModifiedBy>박 정준</cp:lastModifiedBy>
  <dcterms:created xsi:type="dcterms:W3CDTF">2025-09-24T02:47:21Z</dcterms:created>
  <dcterms:modified xsi:type="dcterms:W3CDTF">2025-09-24T03:06:52Z</dcterms:modified>
</cp:coreProperties>
</file>